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50180\Desktop\racunalniski-praktikum\10-razpredelnice\"/>
    </mc:Choice>
  </mc:AlternateContent>
  <xr:revisionPtr revIDLastSave="0" documentId="13_ncr:1_{97E7B0AA-D759-4926-83BA-21093FDCA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16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5" i="1"/>
  <c r="J4" i="1"/>
  <c r="I5" i="1"/>
  <c r="I4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<sst xmlns="http://schemas.openxmlformats.org/spreadsheetml/2006/main" count="105" uniqueCount="72">
  <si>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</si>
  <si>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</si>
  <si>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</si>
  <si>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</si>
  <si>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</si>
  <si>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</si>
  <si>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</si>
  <si>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</si>
  <si>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</si>
  <si>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</si>
  <si>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</si>
  <si>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</si>
  <si>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</si>
  <si>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</si>
  <si>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</si>
  <si>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</si>
  <si>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</si>
  <si>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</si>
  <si>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</si>
  <si>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</si>
  <si>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</si>
  <si>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</si>
  <si>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</si>
  <si>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</si>
  <si>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</si>
  <si>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</si>
  <si>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</si>
  <si>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</si>
  <si>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</si>
  <si>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</si>
  <si>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</si>
  <si>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</si>
  <si>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</si>
  <si>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</si>
  <si>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</si>
  <si>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</si>
  <si>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</si>
  <si>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</si>
  <si>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</si>
  <si>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</si>
  <si>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</si>
  <si>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</si>
  <si>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</si>
  <si>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</si>
  <si>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</si>
  <si>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</si>
  <si>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</si>
  <si>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</si>
  <si>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</si>
  <si>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</si>
  <si>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</si>
  <si>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</si>
  <si>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</si>
  <si>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</si>
  <si>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</si>
  <si>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</si>
  <si>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</si>
  <si>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</si>
  <si>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</si>
  <si>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</si>
  <si>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</si>
  <si>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</si>
  <si>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</si>
  <si>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</si>
  <si>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</si>
  <si>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</si>
  <si>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</si>
  <si>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Grand Total</t>
  </si>
  <si>
    <t>Povprecje</t>
  </si>
  <si>
    <t>Udelezba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</si>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</sst>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  <fill>
        <patternFill>
          <bgColor theme="0"/>
        </patternFill>
      </fill>
    </dxf>
    <dxf>
      <numFmt numFmtId="2" formatCode="0.00"/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[rezultati.xlsx]Rezultati!PivotTable3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</a:t>
            </a:r>
            <a:r>
              <a:rPr lang="en-US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394094488188973"/>
          <c:y val="0.28364100320793234"/>
          <c:w val="0.68628477690288714"/>
          <c:h val="0.50720873432487601"/>
        </c:manualLayout>
      </c:layout>
      <c:pie3DChart>
        <c:varyColors val="1"/>
        <c:ser>
          <c:idx val="0"/>
          <c:order val="0"/>
          <c:tx>
            <c:strRef>
              <c:f>'Rezultati'!$I$8</c:f>
              <c:strCache>
                <c:ptCount val="1"/>
                <c:pt idx="0">
                  <c:v>Udelezba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B9A8-4816-B1F8-C173567F53E2}"/>
              </c:ext>
            </c:extLst>
          </c:dPt>
          <c:dPt>
            <c:idx val="1"/>
            <c:bubble3D val="0"/>
            <c:explosion val="4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9A8-4816-B1F8-C173567F53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'Rezultati'!$H$9:$H$12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'Rezultati'!$I$9:$I$12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8-4816-B1F8-C173567F53E2}"/>
            </c:ext>
          </c:extLst>
        </c:ser>
        <c:ser>
          <c:idx val="1"/>
          <c:order val="1"/>
          <c:tx>
            <c:strRef>
              <c:f>'Rezultati'!$J$8</c:f>
              <c:strCache>
                <c:ptCount val="1"/>
                <c:pt idx="0">
                  <c:v>Povprecje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'Rezultati'!$H$9:$H$12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'Rezultati'!$J$9:$J$12</c:f>
              <c:numCache>
                <c:formatCode>General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8-4816-B1F8-C173567F53E2}"/>
            </c:ext>
          </c:extLst>
        </c:ser>
        <c:ser>
          <c:idx val="2"/>
          <c:order val="2"/>
          <c:tx>
            <c:strRef>
              <c:f>'Rezultati'!$K$8</c:f>
              <c:strCache>
                <c:ptCount val="1"/>
                <c:pt idx="0">
                  <c:v>Maksimum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'Rezultati'!$H$9:$H$12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'Rezultati'!$K$9:$K$12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A8-4816-B1F8-C173567F53E2}"/>
            </c:ext>
          </c:extLst>
        </c:ser>
        <c:ser>
          <c:idx val="3"/>
          <c:order val="3"/>
          <c:tx>
            <c:strRef>
              <c:f>'Rezultati'!$L$8</c:f>
              <c:strCache>
                <c:ptCount val="1"/>
                <c:pt idx="0">
                  <c:v>Minimum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'Rezultati'!$H$9:$H$12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'Rezultati'!$L$9:$L$12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A8-4816-B1F8-C173567F53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</a:t>
            </a:r>
            <a:r>
              <a:rPr lang="en-US" baseline="0"/>
              <a:t>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1-451B-BE6A-6485DA17A65D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1-451B-BE6A-6485DA17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946255"/>
        <c:axId val="964940015"/>
      </c:barChart>
      <c:catAx>
        <c:axId val="96494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964940015"/>
        <c:crosses val="autoZero"/>
        <c:auto val="0"/>
        <c:lblAlgn val="ctr"/>
        <c:lblOffset val="100"/>
        <c:noMultiLvlLbl val="0"/>
      </c:catAx>
      <c:valAx>
        <c:axId val="96494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96494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452437</xdr:colOff>
      <xdr:row>0</xdr:row>
      <xdr:rowOff>52387</xdr:rowOff>
    </xdr:from>
    <xdr:to>
      <xdr:col>21</xdr:col>
      <xdr:colOff>300037</xdr:colOff>
      <xdr:row>14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3A955F-430E-4776-B1D2-48F988E45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500062</xdr:colOff>
      <xdr:row>15</xdr:row>
      <xdr:rowOff>138112</xdr:rowOff>
    </xdr:from>
    <xdr:to>
      <xdr:col>13</xdr:col>
      <xdr:colOff>195262</xdr:colOff>
      <xdr:row>30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2B632D-1DBE-4E75-A233-A4EAC10E1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deljković, Andrej" refreshedDate="45999.755112384257" createdVersion="7" refreshedVersion="7" minRefreshableVersion="3" recordCount="28" xr:uid="{5C44BDA6-656B-4BD8-A270-5D835A15C307}">
  <cacheSource type="worksheet">
    <worksheetSource name="Rezultati"/>
  </cacheSource>
  <cacheFields count="5">
    <cacheField name="Priimek" numFmtId="0">
      <sharedItems/>
    </cacheField>
    <cacheField name="Ime" numFmtId="0">
      <sharedItems count="27">
        <s v="Tomaž"/>
        <s v="Janja"/>
        <s v="Aleš"/>
        <s v="Luka"/>
        <s v="Sabina"/>
        <s v="Katja"/>
        <s v="Alenka"/>
        <s v="Jaka"/>
        <s v="Petra"/>
        <s v="Andraž"/>
        <s v="Kristina"/>
        <s v="Grega"/>
        <s v="Barbara"/>
        <s v="Mateja"/>
        <s v="Tatjana"/>
        <s v="Martin"/>
        <s v="Vesna"/>
        <s v="Primož"/>
        <s v="Matjaž"/>
        <s v="Andreja"/>
        <s v="Igor"/>
        <s v="Matej"/>
        <s v="Aleksander"/>
        <s v="Mojca"/>
        <s v="Valerija"/>
        <s v="Polona"/>
        <s v="Katarina"/>
      </sharedItems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 count="25">
        <n v="38"/>
        <n v="39"/>
        <n v="36"/>
        <n v="93"/>
        <n v="77"/>
        <n v="100"/>
        <n v="94"/>
        <n v="26"/>
        <n v="44"/>
        <n v="34"/>
        <n v="86"/>
        <n v="90"/>
        <n v="67"/>
        <n v="42"/>
        <n v="64"/>
        <n v="30"/>
        <n v="57"/>
        <n v="43"/>
        <n v="85"/>
        <n v="76"/>
        <n v="79"/>
        <n v="70"/>
        <n v="66"/>
        <n v="58"/>
        <n v="46"/>
      </sharedItems>
    </cacheField>
    <cacheField name="Opravil" numFmtId="0">
      <sharedItems count="2">
        <s v="ne"/>
        <s v="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x v="0"/>
    <x v="0"/>
    <x v="0"/>
    <x v="0"/>
  </r>
  <r>
    <s v="Cvelbar"/>
    <x v="1"/>
    <x v="0"/>
    <x v="1"/>
    <x v="0"/>
  </r>
  <r>
    <s v="Furlan"/>
    <x v="2"/>
    <x v="0"/>
    <x v="2"/>
    <x v="0"/>
  </r>
  <r>
    <s v="Furlan"/>
    <x v="3"/>
    <x v="1"/>
    <x v="3"/>
    <x v="1"/>
  </r>
  <r>
    <s v="Iskra"/>
    <x v="4"/>
    <x v="1"/>
    <x v="4"/>
    <x v="1"/>
  </r>
  <r>
    <s v="Jerman"/>
    <x v="5"/>
    <x v="0"/>
    <x v="5"/>
    <x v="1"/>
  </r>
  <r>
    <s v="Karakaš"/>
    <x v="6"/>
    <x v="1"/>
    <x v="6"/>
    <x v="1"/>
  </r>
  <r>
    <s v="Karničar"/>
    <x v="7"/>
    <x v="2"/>
    <x v="7"/>
    <x v="0"/>
  </r>
  <r>
    <s v="Kočar"/>
    <x v="8"/>
    <x v="0"/>
    <x v="8"/>
    <x v="0"/>
  </r>
  <r>
    <s v="Kofol"/>
    <x v="9"/>
    <x v="2"/>
    <x v="9"/>
    <x v="0"/>
  </r>
  <r>
    <s v="Korošec"/>
    <x v="10"/>
    <x v="0"/>
    <x v="10"/>
    <x v="1"/>
  </r>
  <r>
    <s v="Kržišnik"/>
    <x v="11"/>
    <x v="0"/>
    <x v="11"/>
    <x v="1"/>
  </r>
  <r>
    <s v="Kumar"/>
    <x v="12"/>
    <x v="0"/>
    <x v="12"/>
    <x v="1"/>
  </r>
  <r>
    <s v="Logar"/>
    <x v="13"/>
    <x v="1"/>
    <x v="13"/>
    <x v="0"/>
  </r>
  <r>
    <s v="Obrenović"/>
    <x v="14"/>
    <x v="2"/>
    <x v="8"/>
    <x v="0"/>
  </r>
  <r>
    <s v="Pance"/>
    <x v="15"/>
    <x v="0"/>
    <x v="14"/>
    <x v="1"/>
  </r>
  <r>
    <s v="Pleterski"/>
    <x v="16"/>
    <x v="2"/>
    <x v="15"/>
    <x v="0"/>
  </r>
  <r>
    <s v="Puncer"/>
    <x v="17"/>
    <x v="1"/>
    <x v="16"/>
    <x v="1"/>
  </r>
  <r>
    <s v="Ribnikar"/>
    <x v="18"/>
    <x v="1"/>
    <x v="17"/>
    <x v="0"/>
  </r>
  <r>
    <s v="Smrekar"/>
    <x v="19"/>
    <x v="1"/>
    <x v="0"/>
    <x v="0"/>
  </r>
  <r>
    <s v="Štemberger"/>
    <x v="20"/>
    <x v="0"/>
    <x v="18"/>
    <x v="1"/>
  </r>
  <r>
    <s v="Šubašič"/>
    <x v="21"/>
    <x v="2"/>
    <x v="19"/>
    <x v="1"/>
  </r>
  <r>
    <s v="Tekavčič"/>
    <x v="22"/>
    <x v="1"/>
    <x v="9"/>
    <x v="0"/>
  </r>
  <r>
    <s v="Tratnik"/>
    <x v="23"/>
    <x v="0"/>
    <x v="20"/>
    <x v="1"/>
  </r>
  <r>
    <s v="Trček"/>
    <x v="24"/>
    <x v="0"/>
    <x v="21"/>
    <x v="1"/>
  </r>
  <r>
    <s v="Vesel"/>
    <x v="25"/>
    <x v="2"/>
    <x v="22"/>
    <x v="1"/>
  </r>
  <r>
    <s v="Virant"/>
    <x v="17"/>
    <x v="2"/>
    <x v="23"/>
    <x v="1"/>
  </r>
  <r>
    <s v="Žveglič"/>
    <x v="26"/>
    <x v="1"/>
    <x v="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37C31-BC52-48ED-801F-A6978B667E47}" name="PivotTable3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H8:L12" firstHeaderRow="0" firstDataRow="1" firstDataCol="1"/>
  <pivotFields count="5">
    <pivotField showAll="0"/>
    <pivotField showAll="0">
      <items count="28">
        <item x="22"/>
        <item x="6"/>
        <item x="2"/>
        <item x="9"/>
        <item x="19"/>
        <item x="12"/>
        <item x="11"/>
        <item x="20"/>
        <item x="7"/>
        <item x="1"/>
        <item x="26"/>
        <item x="5"/>
        <item x="10"/>
        <item x="3"/>
        <item x="15"/>
        <item x="21"/>
        <item x="13"/>
        <item x="18"/>
        <item x="23"/>
        <item x="8"/>
        <item x="25"/>
        <item x="17"/>
        <item x="4"/>
        <item x="14"/>
        <item x="0"/>
        <item x="24"/>
        <item x="16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dataField="1" showAll="0">
      <items count="26">
        <item x="7"/>
        <item x="15"/>
        <item x="9"/>
        <item x="2"/>
        <item x="0"/>
        <item x="1"/>
        <item x="13"/>
        <item x="17"/>
        <item x="8"/>
        <item x="24"/>
        <item x="16"/>
        <item x="23"/>
        <item x="14"/>
        <item x="22"/>
        <item x="12"/>
        <item x="21"/>
        <item x="19"/>
        <item x="4"/>
        <item x="20"/>
        <item x="18"/>
        <item x="10"/>
        <item x="11"/>
        <item x="3"/>
        <item x="6"/>
        <item x="5"/>
        <item t="default"/>
      </items>
    </pivotField>
    <pivotField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zba" fld="2" subtotal="count" baseField="2" baseItem="0"/>
    <dataField name="Povprecje" fld="3" subtotal="average" baseField="2" baseItem="1"/>
    <dataField name="Maksimum" fld="3" subtotal="max" baseField="2" baseItem="0"/>
    <dataField name="Minimum" fld="3" subtotal="min" baseField="2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8">
      <calculatedColumnFormula>IF(Rezultati[[#This Row],[Točke]]&gt;50,"da","ne")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7">
      <calculatedColumnFormula>COUNTIF(D3:D30,"A")</calculatedColumnFormula>
    </tableColumn>
    <tableColumn id="3" xr3:uid="{49F9352C-9597-4E44-8122-AF1CE6CE856F}" name="2022" dataDxfId="1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R30" sqref="R30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12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Row],[Točke]]&gt;50,"da","ne")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Row],[Točke]]&gt;50,"da","ne")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Row],[Točke]]&gt;50,"da","ne")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Row],[Točke]]&gt;50,"da","ne")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Row],[Točke]]&gt;50,"da","ne")</f>
        <v>da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Row],[Točke]]&gt;50,"da","ne")</f>
        <v>da</v>
      </c>
      <c r="H8" s="2" t="s">
        <v>66</v>
      </c>
      <c r="I8" t="s">
        <v>69</v>
      </c>
      <c r="J8" t="s">
        <v>68</v>
      </c>
      <c r="K8" t="s">
        <v>70</v>
      </c>
      <c r="L8" t="s">
        <v>71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Row],[Točke]]&gt;50,"da","ne")</f>
        <v>da</v>
      </c>
      <c r="H9" s="3" t="s">
        <v>9</v>
      </c>
      <c r="I9" s="4">
        <v>9</v>
      </c>
      <c r="J9" s="4">
        <v>58.222222222222221</v>
      </c>
      <c r="K9" s="4">
        <v>94</v>
      </c>
      <c r="L9" s="4">
        <v>34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Row],[Točke]]&gt;50,"da","ne")</f>
        <v>ne</v>
      </c>
      <c r="H10" s="3" t="s">
        <v>12</v>
      </c>
      <c r="I10" s="4">
        <v>12</v>
      </c>
      <c r="J10" s="4">
        <v>66.5</v>
      </c>
      <c r="K10" s="4">
        <v>100</v>
      </c>
      <c r="L10" s="4">
        <v>36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Row],[Točke]]&gt;50,"da","ne")</f>
        <v>ne</v>
      </c>
      <c r="H11" s="3" t="s">
        <v>15</v>
      </c>
      <c r="I11" s="4">
        <v>7</v>
      </c>
      <c r="J11" s="4">
        <v>47.714285714285715</v>
      </c>
      <c r="K11" s="4">
        <v>76</v>
      </c>
      <c r="L11" s="4">
        <v>26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Row],[Točke]]&gt;50,"da","ne")</f>
        <v>ne</v>
      </c>
      <c r="H12" s="3" t="s">
        <v>67</v>
      </c>
      <c r="I12" s="4">
        <v>28</v>
      </c>
      <c r="J12" s="4">
        <v>59.142857142857146</v>
      </c>
      <c r="K12" s="4">
        <v>100</v>
      </c>
      <c r="L12" s="4">
        <v>26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Row],[Točke]]&gt;50,"da","ne")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Row],[Točke]]&gt;50,"da","ne")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Row],[Točke]]&gt;50,"da","ne")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Row],[Točke]]&gt;50,"da","ne")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Row],[Točke]]&gt;50,"da","ne")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Row],[Točke]]&gt;50,"da","ne")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Row],[Točke]]&gt;50,"da","ne")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Row],[Točke]]&gt;50,"da","ne")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Row],[Točke]]&gt;50,"da","ne")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Row],[Točke]]&gt;50,"da","ne")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Row],[Točke]]&gt;50,"da","ne")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Row],[Točke]]&gt;50,"da","ne")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Row],[Točke]]&gt;50,"da","ne")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Row],[Točke]]&gt;50,"da","ne")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Row],[Točke]]&gt;50,"da","ne")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Row],[Točke]]&gt;50,"da","ne")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Row],[Točke]]&gt;50,"da","ne")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Row],[Točke]]&gt;50,"da","ne")</f>
        <v>ne</v>
      </c>
    </row>
  </sheetData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Nedeljković, Andrej</cp:lastModifiedBy>
  <dcterms:created xsi:type="dcterms:W3CDTF">2007-11-10T02:36:44Z</dcterms:created>
  <dcterms:modified xsi:type="dcterms:W3CDTF">2025-12-08T17:39:59Z</dcterms:modified>
</cp:coreProperties>
</file>